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enne_projekt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26e62096f6bc457/Dokumenter/Finanshuset/stock_fetcher/"/>
    </mc:Choice>
  </mc:AlternateContent>
  <xr:revisionPtr revIDLastSave="29" documentId="8_{068F6423-8A78-4089-BC97-A446538875C5}" xr6:coauthVersionLast="47" xr6:coauthVersionMax="47" xr10:uidLastSave="{590DB0CE-F01F-44E0-859C-4C9412422992}"/>
  <bookViews>
    <workbookView xWindow="-98" yWindow="-98" windowWidth="21795" windowHeight="12975" xr2:uid="{64E1084A-BAE6-4289-808D-A7541D4F2B6B}"/>
  </bookViews>
  <sheets>
    <sheet name="Ark1" sheetId="1" r:id="rId1"/>
    <sheet name="Ark2" sheetId="2" r:id="rId2"/>
  </sheets>
  <definedNames>
    <definedName name="_xleta.SUBSTITUTE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H11" i="1"/>
  <c r="I11" i="1"/>
  <c r="J11" i="1"/>
  <c r="F11" i="1"/>
  <c r="E9" i="1"/>
  <c r="F9" i="1"/>
  <c r="G9" i="1"/>
  <c r="H9" i="1"/>
  <c r="I9" i="1"/>
  <c r="J9" i="1"/>
  <c r="D9" i="1"/>
  <c r="D23" i="1" a="1"/>
  <c r="D23" i="1" s="1"/>
  <c r="D29" i="1" a="1"/>
  <c r="D29" i="1" s="1"/>
  <c r="D27" i="1" a="1"/>
  <c r="D27" i="1" s="1"/>
  <c r="D25" i="1" a="1"/>
  <c r="D25" i="1" s="1"/>
  <c r="D21" i="1" a="1"/>
  <c r="D21" i="1" s="1"/>
  <c r="A19" i="1"/>
  <c r="A18" i="1"/>
  <c r="A17" i="1"/>
  <c r="A16" i="1"/>
  <c r="A15" i="1"/>
  <c r="A6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<sst xmlns="http://schemas.openxmlformats.org/spreadsheetml/2006/main" count="56" uniqueCount="21">
  <si>
    <t>Search Key</t>
  </si>
  <si>
    <t>Name</t>
  </si>
  <si>
    <t>Empty Col_1</t>
  </si>
  <si>
    <t>Date</t>
  </si>
  <si>
    <t>Ticker</t>
  </si>
  <si>
    <t>Open Price</t>
  </si>
  <si>
    <t>High Price</t>
  </si>
  <si>
    <t>Low Price</t>
  </si>
  <si>
    <t>Close Price</t>
  </si>
  <si>
    <t>Volume</t>
  </si>
  <si>
    <t>^DJI</t>
  </si>
  <si>
    <t>High</t>
  </si>
  <si>
    <t>open</t>
  </si>
  <si>
    <t>low</t>
  </si>
  <si>
    <t>Den rette rækkefølge</t>
  </si>
  <si>
    <t>2025-07-25 13:30:00,^DJI,44650.58984375,44757.28125,44944.4609375,44901.921875,369500000</t>
  </si>
  <si>
    <t>2025-07-25 13:30:00,^DJI,44650.58984375,44944.4609375,44757.28125,44901.921875,369500000</t>
  </si>
  <si>
    <t xml:space="preserve"> </t>
  </si>
  <si>
    <t>Værdier fra 25/7</t>
  </si>
  <si>
    <t>Tjek</t>
  </si>
  <si>
    <t>Index - DowJones Industrial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</si>
</sst>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/mm/dd;@"/>
    <numFmt numFmtId="165" formatCode="_-* #,##0.0_-;\-* #,##0.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1"/>
    <xf numFmtId="0" fontId="2" fillId="0" borderId="0" xfId="0" applyFont="1"/>
    <xf numFmtId="164" fontId="3" fillId="0" borderId="0" xfId="0" applyNumberFormat="1" applyFont="1"/>
    <xf numFmtId="0" fontId="3" fillId="0" borderId="0" xfId="0" applyFont="1"/>
    <xf numFmtId="4" fontId="3" fillId="0" borderId="0" xfId="0" applyNumberFormat="1" applyFont="1"/>
    <xf numFmtId="3" fontId="3" fillId="0" borderId="0" xfId="0" applyNumberFormat="1" applyFont="1"/>
    <xf numFmtId="14" fontId="1" fillId="0" borderId="0" xfId="1" applyNumberFormat="1"/>
    <xf numFmtId="165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4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/>
    </xf>
    <xf numFmtId="43" fontId="0" fillId="0" borderId="0" xfId="2" applyFont="1" applyAlignment="1">
      <alignment horizontal="right"/>
    </xf>
    <xf numFmtId="22" fontId="0" fillId="0" borderId="0" xfId="0" applyNumberFormat="1"/>
    <xf numFmtId="4" fontId="0" fillId="0" borderId="0" xfId="0" applyNumberFormat="1"/>
  </cellXfs>
  <cellStyles count="3">
    <cellStyle name="Komma" xfId="2" builtinId="3"/>
    <cellStyle name="Normal" xfId="0" builtinId="0"/>
    <cellStyle name="Normal 6" xfId="1" xr:uid="{D54EEF36-45BB-4EA1-BC28-45588B1ACB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</xdr:colOff>
      <xdr:row>9</xdr:row>
      <xdr:rowOff>76200</xdr:rowOff>
    </xdr:from>
    <xdr:to>
      <xdr:col>1</xdr:col>
      <xdr:colOff>661987</xdr:colOff>
      <xdr:row>11</xdr:row>
      <xdr:rowOff>133350</xdr:rowOff>
    </xdr:to>
    <xdr:sp macro="[0]!Makro2" textlink="">
      <xdr:nvSpPr>
        <xdr:cNvPr id="2" name="Ellipse 1">
          <a:extLst>
            <a:ext uri="{FF2B5EF4-FFF2-40B4-BE49-F238E27FC236}">
              <a16:creationId xmlns:a16="http://schemas.microsoft.com/office/drawing/2014/main" id="{BA67F12D-B83D-E399-80DC-14C5F7E61DE6}"/>
            </a:ext>
          </a:extLst>
        </xdr:cNvPr>
        <xdr:cNvSpPr/>
      </xdr:nvSpPr>
      <xdr:spPr>
        <a:xfrm>
          <a:off x="800100" y="1704975"/>
          <a:ext cx="552450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CD38D-6C8C-404F-B403-5C50DBEBFC79}">
  <sheetPr codeName="Ark1"/>
  <dimension ref="A1:L31"/>
  <sheetViews>
    <sheetView tabSelected="1" workbookViewId="0">
      <selection activeCell="B12" sqref="B12"/>
    </sheetView>
  </sheetViews>
  <sheetFormatPr defaultRowHeight="14.25" x14ac:dyDescent="0.45"/>
  <cols>
    <col min="1" max="1" width="9.6640625" customWidth="1"/>
    <col min="2" max="2" width="30.86328125" bestFit="1" customWidth="1"/>
    <col min="3" max="3" width="11.265625" bestFit="1" customWidth="1"/>
    <col min="4" max="4" width="14.86328125" bestFit="1" customWidth="1"/>
    <col min="5" max="5" width="5.796875" bestFit="1" customWidth="1"/>
    <col min="6" max="10" width="15.3984375" customWidth="1"/>
  </cols>
  <sheetData>
    <row r="1" spans="1:12" x14ac:dyDescent="0.45">
      <c r="A1" s="1" t="s">
        <v>0</v>
      </c>
      <c r="B1" s="1" t="s">
        <v>1</v>
      </c>
      <c r="C1" s="2" t="s">
        <v>2</v>
      </c>
      <c r="D1" s="3" t="s">
        <v>3</v>
      </c>
      <c r="E1" s="4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1" t="s">
        <v>9</v>
      </c>
      <c r="L1" s="5" t="s">
        <v>14</v>
      </c>
    </row>
    <row r="2" spans="1:12" x14ac:dyDescent="0.45">
      <c r="A2" s="1" t="str">
        <f>+E2&amp;LEFT(D2,5)</f>
        <v>^DJI45863</v>
      </c>
      <c r="B2" s="1" t="s">
        <v>20</v>
      </c>
      <c r="C2" s="7"/>
      <c r="D2" s="3">
        <v>45863.5625</v>
      </c>
      <c r="E2" s="4" t="s">
        <v>10</v>
      </c>
      <c r="F2" s="5">
        <v>44757.28125</v>
      </c>
      <c r="G2" s="5">
        <v>44944.4609375</v>
      </c>
      <c r="H2" s="5">
        <v>44650.58984375</v>
      </c>
      <c r="I2" s="5">
        <v>44901.921875</v>
      </c>
      <c r="J2" s="6">
        <v>369500000</v>
      </c>
    </row>
    <row r="3" spans="1:12" x14ac:dyDescent="0.45">
      <c r="A3" s="1" t="str">
        <f t="shared" ref="A3:A6" si="0">+E3&amp;LEFT(D3,5)</f>
        <v>^DJI45862</v>
      </c>
      <c r="B3" s="1" t="s">
        <v>20</v>
      </c>
      <c r="C3" s="7"/>
      <c r="D3" s="3">
        <v>45862.5625</v>
      </c>
      <c r="E3" s="4" t="s">
        <v>10</v>
      </c>
      <c r="F3" s="5">
        <v>44776.41015625</v>
      </c>
      <c r="G3" s="5">
        <v>44912.26953125</v>
      </c>
      <c r="H3" s="5">
        <v>44674.5703125</v>
      </c>
      <c r="I3" s="5">
        <v>44693.91015625</v>
      </c>
      <c r="J3" s="6">
        <v>453000000</v>
      </c>
    </row>
    <row r="4" spans="1:12" x14ac:dyDescent="0.45">
      <c r="A4" s="1" t="str">
        <f t="shared" si="0"/>
        <v>^DJI45861</v>
      </c>
      <c r="B4" s="1" t="s">
        <v>20</v>
      </c>
      <c r="C4" s="7"/>
      <c r="D4" s="3">
        <v>45861.5625</v>
      </c>
      <c r="E4" s="4" t="s">
        <v>10</v>
      </c>
      <c r="F4" s="5">
        <v>44661.12109375</v>
      </c>
      <c r="G4" s="5">
        <v>45016.7109375</v>
      </c>
      <c r="H4" s="5">
        <v>44638.44140625</v>
      </c>
      <c r="I4" s="5">
        <v>45010.2890625</v>
      </c>
      <c r="J4" s="6">
        <v>446630000</v>
      </c>
    </row>
    <row r="5" spans="1:12" x14ac:dyDescent="0.45">
      <c r="A5" s="1" t="str">
        <f t="shared" si="0"/>
        <v>^DJI45860</v>
      </c>
      <c r="B5" s="1" t="s">
        <v>20</v>
      </c>
      <c r="C5" s="7"/>
      <c r="D5" s="3">
        <v>45860.5625</v>
      </c>
      <c r="E5" s="4" t="s">
        <v>10</v>
      </c>
      <c r="F5" s="5">
        <v>44338.62109375</v>
      </c>
      <c r="G5" s="5">
        <v>44542.53125</v>
      </c>
      <c r="H5" s="5">
        <v>44272.6015625</v>
      </c>
      <c r="I5" s="5">
        <v>44502.44140625</v>
      </c>
      <c r="J5" s="6">
        <v>483560000</v>
      </c>
    </row>
    <row r="6" spans="1:12" x14ac:dyDescent="0.45">
      <c r="A6" s="1" t="str">
        <f t="shared" si="0"/>
        <v>^DJI45859</v>
      </c>
      <c r="B6" s="1" t="s">
        <v>20</v>
      </c>
      <c r="C6" s="7"/>
      <c r="D6" s="3">
        <v>45859.5625</v>
      </c>
      <c r="E6" s="4" t="s">
        <v>10</v>
      </c>
      <c r="F6" s="5">
        <v>44368.3984375</v>
      </c>
      <c r="G6" s="5">
        <v>44601.8515625</v>
      </c>
      <c r="H6" s="5">
        <v>44311.421875</v>
      </c>
      <c r="I6" s="5">
        <v>44323.0703125</v>
      </c>
      <c r="J6" s="6">
        <v>446590000</v>
      </c>
    </row>
    <row r="9" spans="1:12" x14ac:dyDescent="0.45">
      <c r="B9" t="s">
        <v>18</v>
      </c>
      <c r="D9" s="13">
        <f>+'Ark2'!A5</f>
        <v>45863.5625</v>
      </c>
      <c r="E9" s="13" t="str">
        <f>+'Ark2'!B5</f>
        <v>^DJI</v>
      </c>
      <c r="F9" s="5">
        <f>+'Ark2'!C5</f>
        <v>44650.58984375</v>
      </c>
      <c r="G9" s="5">
        <f>+'Ark2'!D5</f>
        <v>44944.4609375</v>
      </c>
      <c r="H9" s="5">
        <f>+'Ark2'!E5</f>
        <v>44757.28125</v>
      </c>
      <c r="I9" s="5">
        <f>+'Ark2'!F5</f>
        <v>44901.921875</v>
      </c>
      <c r="J9" s="6">
        <f>+'Ark2'!G5</f>
        <v>369500000</v>
      </c>
    </row>
    <row r="11" spans="1:12" x14ac:dyDescent="0.45">
      <c r="D11" t="s">
        <v>19</v>
      </c>
      <c r="F11" s="14">
        <f>+F9-F2</f>
        <v>-106.69140625</v>
      </c>
      <c r="G11" s="14">
        <f t="shared" ref="G11:J11" si="1">+G9-G2</f>
        <v>0</v>
      </c>
      <c r="H11" s="14">
        <f t="shared" si="1"/>
        <v>106.69140625</v>
      </c>
      <c r="I11" s="14">
        <f t="shared" si="1"/>
        <v>0</v>
      </c>
      <c r="J11" s="14">
        <f t="shared" si="1"/>
        <v>0</v>
      </c>
    </row>
    <row r="14" spans="1:12" x14ac:dyDescent="0.45">
      <c r="F14" t="s">
        <v>13</v>
      </c>
      <c r="G14" t="s">
        <v>12</v>
      </c>
      <c r="H14" t="s">
        <v>11</v>
      </c>
    </row>
    <row r="15" spans="1:12" x14ac:dyDescent="0.45">
      <c r="A15" s="1" t="str">
        <f>+E15&amp;LEFT(D15,5)</f>
        <v>^DJI45863</v>
      </c>
      <c r="B15" s="1" t="s">
        <v>20</v>
      </c>
      <c r="C15" s="7"/>
      <c r="D15" s="3">
        <v>45863.5625</v>
      </c>
      <c r="E15" s="4" t="s">
        <v>10</v>
      </c>
      <c r="F15" s="5">
        <v>44650.58984375</v>
      </c>
      <c r="G15" s="5">
        <v>44757.28125</v>
      </c>
      <c r="H15" s="5">
        <v>44944.4609375</v>
      </c>
      <c r="I15" s="5">
        <v>44901.921875</v>
      </c>
      <c r="J15" s="6">
        <v>369500000</v>
      </c>
    </row>
    <row r="16" spans="1:12" x14ac:dyDescent="0.45">
      <c r="A16" s="1" t="str">
        <f t="shared" ref="A16:A19" si="2">+E16&amp;LEFT(D16,5)</f>
        <v>^DJI45862</v>
      </c>
      <c r="B16" s="1" t="s">
        <v>20</v>
      </c>
      <c r="C16" s="7"/>
      <c r="D16" s="3">
        <v>45862.5625</v>
      </c>
      <c r="E16" s="4" t="s">
        <v>10</v>
      </c>
      <c r="F16" s="5">
        <v>44674.5703125</v>
      </c>
      <c r="G16" s="5">
        <v>44776.41015625</v>
      </c>
      <c r="H16" s="5">
        <v>44912.26953125</v>
      </c>
      <c r="I16" s="5">
        <v>44693.91015625</v>
      </c>
      <c r="J16" s="6">
        <v>453000000</v>
      </c>
    </row>
    <row r="17" spans="1:10" x14ac:dyDescent="0.45">
      <c r="A17" s="1" t="str">
        <f t="shared" si="2"/>
        <v>^DJI45861</v>
      </c>
      <c r="B17" s="1" t="s">
        <v>20</v>
      </c>
      <c r="C17" s="7"/>
      <c r="D17" s="3">
        <v>45861.5625</v>
      </c>
      <c r="E17" s="4" t="s">
        <v>10</v>
      </c>
      <c r="F17" s="5">
        <v>44638.44140625</v>
      </c>
      <c r="G17" s="5">
        <v>44661.12109375</v>
      </c>
      <c r="H17" s="5">
        <v>45016.7109375</v>
      </c>
      <c r="I17" s="5">
        <v>45010.2890625</v>
      </c>
      <c r="J17" s="6">
        <v>446630000</v>
      </c>
    </row>
    <row r="18" spans="1:10" x14ac:dyDescent="0.45">
      <c r="A18" s="1" t="str">
        <f t="shared" si="2"/>
        <v>^DJI45860</v>
      </c>
      <c r="B18" s="1" t="s">
        <v>20</v>
      </c>
      <c r="C18" s="7"/>
      <c r="D18" s="3">
        <v>45860.5625</v>
      </c>
      <c r="E18" s="4" t="s">
        <v>10</v>
      </c>
      <c r="F18" s="5">
        <v>44272.6015625</v>
      </c>
      <c r="G18" s="5">
        <v>44338.62109375</v>
      </c>
      <c r="H18" s="5">
        <v>44542.53125</v>
      </c>
      <c r="I18" s="5">
        <v>44502.44140625</v>
      </c>
      <c r="J18" s="6">
        <v>483560000</v>
      </c>
    </row>
    <row r="19" spans="1:10" x14ac:dyDescent="0.45">
      <c r="A19" s="1" t="str">
        <f t="shared" si="2"/>
        <v>^DJI45859</v>
      </c>
      <c r="B19" s="1" t="s">
        <v>20</v>
      </c>
      <c r="C19" s="7"/>
      <c r="D19" s="3">
        <v>45859.5625</v>
      </c>
      <c r="E19" s="4" t="s">
        <v>10</v>
      </c>
      <c r="F19" s="5">
        <v>44311.421875</v>
      </c>
      <c r="G19" s="5">
        <v>44368.3984375</v>
      </c>
      <c r="H19" s="5">
        <v>44601.8515625</v>
      </c>
      <c r="I19" s="5">
        <v>44323.0703125</v>
      </c>
      <c r="J19" s="6">
        <v>446590000</v>
      </c>
    </row>
    <row r="21" spans="1:10" x14ac:dyDescent="0.45">
      <c r="A21" t="s">
        <v>15</v>
      </c>
      <c r="C21" t="s">
        <v>17</v>
      </c>
      <c r="D21" s="9" t="str" cm="1">
        <f t="array" ref="D21:J21">_xlfn.TEXTSPLIT(SUBSTITUTE(SUBSTITUTE(A21,",",";"),".",","),";")</f>
        <v>2025-07-25 13:30:00</v>
      </c>
      <c r="E21" s="9" t="str">
        <v>^DJI</v>
      </c>
      <c r="F21" s="12" t="str">
        <v>44650,58984375</v>
      </c>
      <c r="G21" s="9" t="str">
        <v>44757,28125</v>
      </c>
      <c r="H21" s="9" t="str">
        <v>44944,4609375</v>
      </c>
      <c r="I21" s="9" t="str">
        <v>44901,921875</v>
      </c>
      <c r="J21" s="9" t="str">
        <v>369500000</v>
      </c>
    </row>
    <row r="22" spans="1:10" x14ac:dyDescent="0.45">
      <c r="D22" s="9"/>
      <c r="E22" s="9"/>
      <c r="F22" s="9"/>
      <c r="G22" s="9"/>
      <c r="H22" s="9"/>
      <c r="I22" s="9"/>
      <c r="J22" s="9"/>
    </row>
    <row r="23" spans="1:10" x14ac:dyDescent="0.45">
      <c r="A23" t="s">
        <v>16</v>
      </c>
      <c r="C23" t="s">
        <v>17</v>
      </c>
      <c r="D23" s="9" t="str" cm="1">
        <f t="array" ref="D23:J23">_xlfn.TEXTSPLIT(SUBSTITUTE(SUBSTITUTE(A23,",",";"),".",","),";")</f>
        <v>2025-07-25 13:30:00</v>
      </c>
      <c r="E23" s="9" t="str">
        <v>^DJI</v>
      </c>
      <c r="F23" s="9" t="str">
        <v>44650,58984375</v>
      </c>
      <c r="G23" s="9" t="str">
        <v>44944,4609375</v>
      </c>
      <c r="H23" s="9" t="str">
        <v>44757,28125</v>
      </c>
      <c r="I23" s="9" t="str">
        <v>44901,921875</v>
      </c>
      <c r="J23" s="9" t="str">
        <v>369500000</v>
      </c>
    </row>
    <row r="24" spans="1:10" x14ac:dyDescent="0.45">
      <c r="D24" s="9"/>
      <c r="E24" s="9"/>
      <c r="F24" s="8"/>
      <c r="G24" s="8"/>
      <c r="H24" s="8"/>
      <c r="I24" s="8"/>
      <c r="J24" s="8"/>
    </row>
    <row r="25" spans="1:10" x14ac:dyDescent="0.45">
      <c r="A25" t="s">
        <v>16</v>
      </c>
      <c r="C25" t="s">
        <v>17</v>
      </c>
      <c r="D25" s="9" t="e" cm="1">
        <f t="array" ref="D25:J25">_xlfn.NUMBERVALUE(_xlfn.TEXTSPLIT(SUBSTITUTE(SUBSTITUTE(A25,",",";"),".",","),";"))</f>
        <v>#VALUE!</v>
      </c>
      <c r="E25" s="9" t="e">
        <v>#VALUE!</v>
      </c>
      <c r="F25" s="12">
        <v>44650.58984375</v>
      </c>
      <c r="G25" s="9">
        <v>44944.4609375</v>
      </c>
      <c r="H25" s="9">
        <v>44757.28125</v>
      </c>
      <c r="I25" s="9">
        <v>44901.921875</v>
      </c>
      <c r="J25" s="9">
        <v>369500000</v>
      </c>
    </row>
    <row r="26" spans="1:10" x14ac:dyDescent="0.45">
      <c r="D26" s="9"/>
      <c r="E26" s="9"/>
      <c r="F26" s="9"/>
      <c r="G26" s="9"/>
      <c r="H26" s="9"/>
      <c r="I26" s="9"/>
      <c r="J26" s="9"/>
    </row>
    <row r="27" spans="1:10" x14ac:dyDescent="0.45">
      <c r="C27" t="s">
        <v>17</v>
      </c>
      <c r="D27" s="9" t="e" cm="1">
        <f t="array" ref="D27">_xlfn.NUMBERVALUE(_xlfn.TEXTSPLIT(SUBSTITUTE(SUBSTITUTE(A27,",",";"),".",","),";"))</f>
        <v>#VALUE!</v>
      </c>
      <c r="E27" s="9"/>
      <c r="F27" s="9"/>
      <c r="G27" s="9"/>
      <c r="H27" s="9"/>
      <c r="I27" s="9"/>
      <c r="J27" s="9"/>
    </row>
    <row r="28" spans="1:10" x14ac:dyDescent="0.45">
      <c r="D28" s="9"/>
      <c r="E28" s="9"/>
      <c r="F28" s="12"/>
      <c r="G28" s="9"/>
      <c r="H28" s="9"/>
      <c r="I28" s="9"/>
      <c r="J28" s="9"/>
    </row>
    <row r="29" spans="1:10" x14ac:dyDescent="0.45">
      <c r="C29" t="s">
        <v>17</v>
      </c>
      <c r="D29" s="9" t="e" cm="1">
        <f t="array" ref="D29">_xlfn.NUMBERVALUE(_xlfn.TEXTSPLIT(SUBSTITUTE(SUBSTITUTE(A29,",",";"),".",","),";"))</f>
        <v>#VALUE!</v>
      </c>
      <c r="E29" s="9"/>
      <c r="F29" s="9"/>
      <c r="G29" s="9"/>
      <c r="H29" s="9"/>
      <c r="I29" s="9"/>
      <c r="J29" s="9"/>
    </row>
    <row r="30" spans="1:10" x14ac:dyDescent="0.45">
      <c r="D30" s="9"/>
      <c r="E30" s="9"/>
      <c r="F30" s="9"/>
      <c r="G30" s="9"/>
      <c r="H30" s="9"/>
      <c r="I30" s="9"/>
      <c r="J30" s="9"/>
    </row>
    <row r="31" spans="1:10" x14ac:dyDescent="0.45">
      <c r="D31" s="9"/>
      <c r="E31" s="9"/>
      <c r="F31" s="9"/>
      <c r="G31" s="9"/>
      <c r="H31" s="9"/>
      <c r="I31" s="9"/>
      <c r="J31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1A85F-FD74-498A-BC99-C4656F9FD8DC}">
  <sheetPr codeName="Ark2"/>
  <dimension ref="A1:G6"/>
  <sheetViews>
    <sheetView workbookViewId="0">
      <selection sqref="A1:A1048576"/>
    </sheetView>
  </sheetViews>
  <sheetFormatPr defaultRowHeight="14.25" x14ac:dyDescent="0.45"/>
  <cols>
    <col min="1" max="1" width="21.73046875" customWidth="1"/>
    <col min="7" max="7" width="17.06640625" customWidth="1"/>
  </cols>
  <sheetData>
    <row r="1" spans="1:7" x14ac:dyDescent="0.4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7" x14ac:dyDescent="0.45">
      <c r="A2" s="13">
        <v>45860.5625</v>
      </c>
      <c r="B2" t="s">
        <v>10</v>
      </c>
      <c r="C2">
        <v>44272.6015625</v>
      </c>
      <c r="D2">
        <v>44542.53125</v>
      </c>
      <c r="E2">
        <v>44338.62109375</v>
      </c>
      <c r="F2">
        <v>44502.44140625</v>
      </c>
      <c r="G2">
        <v>483560000</v>
      </c>
    </row>
    <row r="3" spans="1:7" x14ac:dyDescent="0.45">
      <c r="A3" s="13">
        <v>45861.5625</v>
      </c>
      <c r="B3" t="s">
        <v>10</v>
      </c>
      <c r="C3">
        <v>44638.44140625</v>
      </c>
      <c r="D3">
        <v>45016.7109375</v>
      </c>
      <c r="E3">
        <v>44661.12109375</v>
      </c>
      <c r="F3">
        <v>45010.2890625</v>
      </c>
      <c r="G3">
        <v>446630000</v>
      </c>
    </row>
    <row r="4" spans="1:7" x14ac:dyDescent="0.45">
      <c r="A4" s="13">
        <v>45862.5625</v>
      </c>
      <c r="B4" t="s">
        <v>10</v>
      </c>
      <c r="C4">
        <v>44674.5703125</v>
      </c>
      <c r="D4">
        <v>44912.26953125</v>
      </c>
      <c r="E4">
        <v>44776.41015625</v>
      </c>
      <c r="F4">
        <v>44693.91015625</v>
      </c>
      <c r="G4">
        <v>453000000</v>
      </c>
    </row>
    <row r="5" spans="1:7" x14ac:dyDescent="0.45">
      <c r="A5" s="13">
        <v>45863.5625</v>
      </c>
      <c r="B5" t="s">
        <v>10</v>
      </c>
      <c r="C5">
        <v>44650.58984375</v>
      </c>
      <c r="D5">
        <v>44944.4609375</v>
      </c>
      <c r="E5">
        <v>44757.28125</v>
      </c>
      <c r="F5">
        <v>44901.921875</v>
      </c>
      <c r="G5">
        <v>369500000</v>
      </c>
    </row>
    <row r="6" spans="1:7" x14ac:dyDescent="0.45">
      <c r="A6" s="13">
        <v>45866.602662037039</v>
      </c>
      <c r="B6" t="s">
        <v>10</v>
      </c>
      <c r="C6">
        <v>44832.6796875</v>
      </c>
      <c r="D6">
        <v>44946.98046875</v>
      </c>
      <c r="E6">
        <v>44946.98046875</v>
      </c>
      <c r="F6">
        <v>44838.91015625</v>
      </c>
      <c r="G6">
        <v>44933519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274FCA-DED1-4CFC-A124-189C3BA697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Ark1</vt:lpstr>
      <vt:lpstr>Ark2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Christen Sloth</dc:creator>
  <cp:lastModifiedBy>Christen Sloth</cp:lastModifiedBy>
  <dcterms:created xsi:type="dcterms:W3CDTF">2025-07-27T07:44:29Z</dcterms:created>
  <dcterms:modified xsi:type="dcterms:W3CDTF">2025-07-29T07:34:22Z</dcterms:modified>
</cp:coreProperties>
</file>